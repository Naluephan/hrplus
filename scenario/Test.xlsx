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<sst xmlns="http://schemas.openxmlformats.org/spreadsheetml/2006/main" count="33" uniqueCount="32">
  <si>
    <t>EN</t>
  </si>
  <si>
    <t>Project Name</t>
  </si>
  <si>
    <t>Organics Plus</t>
  </si>
  <si>
    <t>URL</t>
  </si>
  <si>
    <t>https://demo-hr.organicscosme.com</t>
  </si>
  <si>
    <t>PASSED</t>
  </si>
  <si>
    <t>Dev กำลังแก้ไข</t>
  </si>
  <si>
    <t>Created By</t>
  </si>
  <si>
    <t>Naluephan</t>
  </si>
  <si>
    <t>Environment</t>
  </si>
  <si>
    <t>chromium</t>
  </si>
  <si>
    <t>FAILED</t>
  </si>
  <si>
    <t>Dev แก้ไขแล้ว</t>
  </si>
  <si>
    <t>Updated at</t>
  </si>
  <si>
    <t>Updated By</t>
  </si>
  <si>
    <t>Unable to Test (ไม่สามารเทสได้)</t>
  </si>
  <si>
    <t>Dev ไม่สามารถแก้ไขได้</t>
  </si>
  <si>
    <t>ID</t>
  </si>
  <si>
    <t>Description</t>
  </si>
  <si>
    <t>Pre Conditions</t>
  </si>
  <si>
    <t>Step</t>
  </si>
  <si>
    <t>Test Data</t>
  </si>
  <si>
    <t>Post Conditions</t>
  </si>
  <si>
    <t>Bug</t>
  </si>
  <si>
    <t>Expected Result</t>
  </si>
  <si>
    <t>Test Result</t>
  </si>
  <si>
    <t>Test Date</t>
  </si>
  <si>
    <t>Remark</t>
  </si>
  <si>
    <t>Dev Status</t>
  </si>
  <si>
    <t>Tester Status</t>
  </si>
  <si>
    <t>Dev Date</t>
  </si>
  <si>
    <t>Dev Remark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</si>
</sst>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5">
    <font>
      <sz val="10.0"/>
      <color rgb="FF000000"/>
      <name val="Arial"/>
      <scheme val="minor"/>
    </font>
    <font>
      <color theme="1"/>
      <name val="Arial"/>
    </font>
    <font>
      <color rgb="FFFFFFFF"/>
      <name val="Arial"/>
    </font>
    <font>
      <u/>
      <color rgb="FF1155CC"/>
      <name val="Arial"/>
    </font>
    <font>
      <color rgb="FFA64D79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D9D9D9"/>
        <bgColor rgb="FFD9D9D9"/>
      </patternFill>
    </fill>
    <fill>
      <patternFill patternType="solid">
        <fgColor rgb="FF34A853"/>
        <bgColor rgb="FF34A853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EA4335"/>
        <bgColor rgb="FFEA4335"/>
      </patternFill>
    </fill>
    <fill>
      <patternFill patternType="solid">
        <fgColor rgb="FFCFE2F3"/>
        <bgColor rgb="FFCFE2F3"/>
      </patternFill>
    </fill>
    <fill>
      <patternFill patternType="solid">
        <fgColor rgb="FF3C78D8"/>
        <bgColor rgb="FF3C78D8"/>
      </patternFill>
    </fill>
    <fill>
      <patternFill patternType="solid">
        <fgColor rgb="FFE8F0FE"/>
        <bgColor rgb="FFE8F0FE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3" fontId="3" numFmtId="0" xfId="0" applyAlignment="1" applyFont="1">
      <alignment vertical="bottom"/>
    </xf>
    <xf borderId="0" fillId="4" fontId="2" numFmtId="0" xfId="0" applyAlignment="1" applyFill="1" applyFont="1">
      <alignment vertical="bottom"/>
    </xf>
    <xf borderId="0" fillId="3" fontId="1" numFmtId="0" xfId="0" applyAlignment="1" applyFont="1">
      <alignment horizontal="right" vertical="bottom"/>
    </xf>
    <xf borderId="0" fillId="5" fontId="4" numFmtId="0" xfId="0" applyAlignment="1" applyFill="1" applyFont="1">
      <alignment vertical="bottom"/>
    </xf>
    <xf borderId="0" fillId="6" fontId="2" numFmtId="0" xfId="0" applyAlignment="1" applyFill="1" applyFont="1">
      <alignment vertical="bottom"/>
    </xf>
    <xf borderId="0" fillId="3" fontId="1" numFmtId="164" xfId="0" applyAlignment="1" applyFont="1" applyNumberFormat="1">
      <alignment horizontal="right" vertical="bottom"/>
    </xf>
    <xf borderId="0" fillId="7" fontId="2" numFmtId="0" xfId="0" applyAlignment="1" applyFill="1" applyFont="1">
      <alignment vertical="bottom"/>
    </xf>
    <xf borderId="0" fillId="8" fontId="2" numFmtId="0" xfId="0" applyAlignment="1" applyFill="1" applyFont="1">
      <alignment vertical="bottom"/>
    </xf>
    <xf borderId="0" fillId="9" fontId="1" numFmtId="0" xfId="0" applyAlignment="1" applyFill="1" applyFont="1">
      <alignment vertical="bottom"/>
    </xf>
    <xf borderId="0" fillId="10" fontId="2" numFmtId="0" xfId="0" applyAlignment="1" applyFill="1" applyFont="1">
      <alignment horizontal="center" vertical="bottom"/>
    </xf>
    <xf borderId="0" fillId="11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12" fontId="1" numFmtId="0" xfId="0" applyAlignment="1" applyFill="1" applyFont="1">
      <alignment vertical="bottom"/>
    </xf>
    <xf borderId="0" fillId="11" fontId="1" numFmtId="165" xfId="0" applyAlignment="1" applyFont="1" applyNumberFormat="1">
      <alignment vertical="bottom"/>
    </xf>
    <xf borderId="0" fillId="12" fontId="1" numFmtId="165" xfId="0" applyAlignment="1" applyFont="1" applyNumberFormat="1">
      <alignment vertical="bottom"/>
    </xf>
    <xf borderId="0" fillId="11" fontId="1" numFmtId="164" xfId="0" applyAlignment="1" applyFont="1" applyNumberFormat="1">
      <alignment vertical="bottom"/>
    </xf>
    <xf borderId="0" fillId="12" fontId="1" numFmtId="164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ชีต1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O86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ชีต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ganicsplus.organicscosme.com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1</v>
      </c>
      <c r="B2" s="4" t="s">
        <v>2</v>
      </c>
      <c r="C2" s="3" t="s">
        <v>3</v>
      </c>
      <c r="D2" s="5" t="s">
        <v>4</v>
      </c>
      <c r="F2" s="2"/>
      <c r="G2" s="2"/>
      <c r="H2" s="6" t="s">
        <v>5</v>
      </c>
      <c r="I2" s="7">
        <f>COUNTIF(M7:M1000, "PASSED")</f>
        <v>0</v>
      </c>
      <c r="J2" s="2"/>
      <c r="K2" s="2"/>
      <c r="L2" s="8" t="s">
        <v>6</v>
      </c>
      <c r="M2" s="7">
        <f>COUNTIF(L7:L1000, "EDITING")</f>
        <v>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3" t="s">
        <v>7</v>
      </c>
      <c r="B3" s="4" t="s">
        <v>8</v>
      </c>
      <c r="C3" s="3" t="s">
        <v>9</v>
      </c>
      <c r="D3" s="4" t="s">
        <v>10</v>
      </c>
      <c r="F3" s="2"/>
      <c r="G3" s="2"/>
      <c r="H3" s="9" t="s">
        <v>11</v>
      </c>
      <c r="I3" s="7">
        <f>COUNTIF(M7:M1000, "FAILED")</f>
        <v>0</v>
      </c>
      <c r="J3" s="2"/>
      <c r="K3" s="2"/>
      <c r="L3" s="6" t="s">
        <v>12</v>
      </c>
      <c r="M3" s="7">
        <f>COUNTIF(L7:L1000, "PASSED")</f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3" t="s">
        <v>13</v>
      </c>
      <c r="B4" s="10">
        <v>45926.0</v>
      </c>
      <c r="C4" s="3" t="s">
        <v>14</v>
      </c>
      <c r="D4" s="4" t="s">
        <v>8</v>
      </c>
      <c r="F4" s="2"/>
      <c r="G4" s="2"/>
      <c r="H4" s="11" t="s">
        <v>15</v>
      </c>
      <c r="I4" s="7">
        <f>COUNTIF(M7:M1000, "UNABLE")</f>
        <v>0</v>
      </c>
      <c r="J4" s="2"/>
      <c r="K4" s="2"/>
      <c r="L4" s="12" t="s">
        <v>16</v>
      </c>
      <c r="M4" s="7">
        <f>COUNTIF(L7:L1000, "UNABLE")</f>
        <v>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4" t="s">
        <v>17</v>
      </c>
      <c r="B6" s="14" t="s">
        <v>18</v>
      </c>
      <c r="C6" s="14" t="s">
        <v>19</v>
      </c>
      <c r="D6" s="14" t="s">
        <v>20</v>
      </c>
      <c r="E6" s="14" t="s">
        <v>21</v>
      </c>
      <c r="F6" s="14" t="s">
        <v>22</v>
      </c>
      <c r="G6" s="14" t="s">
        <v>23</v>
      </c>
      <c r="H6" s="14" t="s">
        <v>24</v>
      </c>
      <c r="I6" s="14" t="s">
        <v>25</v>
      </c>
      <c r="J6" s="14" t="s">
        <v>26</v>
      </c>
      <c r="K6" s="14" t="s">
        <v>27</v>
      </c>
      <c r="L6" s="14" t="s">
        <v>28</v>
      </c>
      <c r="M6" s="14" t="s">
        <v>29</v>
      </c>
      <c r="N6" s="14" t="s">
        <v>30</v>
      </c>
      <c r="O6" s="14" t="s">
        <v>31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6"/>
      <c r="M7" s="16"/>
      <c r="N7" s="15"/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6"/>
      <c r="M8" s="16"/>
      <c r="N8" s="17"/>
      <c r="O8" s="17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6"/>
      <c r="M9" s="16"/>
      <c r="N9" s="15"/>
      <c r="O9" s="15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6"/>
      <c r="M10" s="16"/>
      <c r="N10" s="17"/>
      <c r="O10" s="1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6"/>
      <c r="M11" s="16"/>
      <c r="N11" s="15"/>
      <c r="O11" s="1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6"/>
      <c r="M12" s="16"/>
      <c r="N12" s="17"/>
      <c r="O12" s="17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6"/>
      <c r="M13" s="16"/>
      <c r="N13" s="15"/>
      <c r="O13" s="1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6"/>
      <c r="M14" s="16"/>
      <c r="N14" s="17"/>
      <c r="O14" s="17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8"/>
      <c r="K15" s="15"/>
      <c r="L15" s="16"/>
      <c r="M15" s="16"/>
      <c r="N15" s="15"/>
      <c r="O15" s="1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9"/>
      <c r="K16" s="17"/>
      <c r="L16" s="16"/>
      <c r="M16" s="16"/>
      <c r="N16" s="17"/>
      <c r="O16" s="17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8"/>
      <c r="K17" s="15"/>
      <c r="L17" s="16"/>
      <c r="M17" s="16"/>
      <c r="N17" s="15"/>
      <c r="O17" s="1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9"/>
      <c r="K18" s="17"/>
      <c r="L18" s="16"/>
      <c r="M18" s="16"/>
      <c r="N18" s="17"/>
      <c r="O18" s="17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8"/>
      <c r="K19" s="15"/>
      <c r="L19" s="16"/>
      <c r="M19" s="16"/>
      <c r="N19" s="15"/>
      <c r="O19" s="1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9"/>
      <c r="K20" s="17"/>
      <c r="L20" s="16"/>
      <c r="M20" s="16"/>
      <c r="N20" s="17"/>
      <c r="O20" s="1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8"/>
      <c r="K21" s="15"/>
      <c r="L21" s="16"/>
      <c r="M21" s="16"/>
      <c r="N21" s="20"/>
      <c r="O21" s="15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9"/>
      <c r="K22" s="17"/>
      <c r="L22" s="16"/>
      <c r="M22" s="16"/>
      <c r="N22" s="21"/>
      <c r="O22" s="17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8"/>
      <c r="K23" s="15"/>
      <c r="L23" s="16"/>
      <c r="M23" s="16"/>
      <c r="N23" s="20"/>
      <c r="O23" s="1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9"/>
      <c r="K24" s="17"/>
      <c r="L24" s="16"/>
      <c r="M24" s="16"/>
      <c r="N24" s="21"/>
      <c r="O24" s="17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8"/>
      <c r="K25" s="15"/>
      <c r="L25" s="16"/>
      <c r="M25" s="16"/>
      <c r="N25" s="20"/>
      <c r="O25" s="15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9"/>
      <c r="K26" s="17"/>
      <c r="L26" s="16"/>
      <c r="M26" s="16"/>
      <c r="N26" s="17"/>
      <c r="O26" s="17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6"/>
      <c r="M27" s="16"/>
      <c r="N27" s="15"/>
      <c r="O27" s="15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6"/>
      <c r="M28" s="16"/>
      <c r="N28" s="17"/>
      <c r="O28" s="1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6"/>
      <c r="M29" s="16"/>
      <c r="N29" s="15"/>
      <c r="O29" s="15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6"/>
      <c r="M30" s="16"/>
      <c r="N30" s="17"/>
      <c r="O30" s="17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6"/>
      <c r="M31" s="16"/>
      <c r="N31" s="15"/>
      <c r="O31" s="15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6"/>
      <c r="M32" s="16"/>
      <c r="N32" s="17"/>
      <c r="O32" s="17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6"/>
      <c r="M33" s="16"/>
      <c r="N33" s="15"/>
      <c r="O33" s="15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6"/>
      <c r="M34" s="16"/>
      <c r="N34" s="17"/>
      <c r="O34" s="17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6"/>
      <c r="M35" s="16"/>
      <c r="N35" s="15"/>
      <c r="O35" s="15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6"/>
      <c r="M36" s="16"/>
      <c r="N36" s="17"/>
      <c r="O36" s="1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6"/>
      <c r="M37" s="16"/>
      <c r="N37" s="15"/>
      <c r="O37" s="15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6"/>
      <c r="M38" s="16"/>
      <c r="N38" s="17"/>
      <c r="O38" s="17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6"/>
      <c r="M39" s="16"/>
      <c r="N39" s="15"/>
      <c r="O39" s="15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6"/>
      <c r="M40" s="16"/>
      <c r="N40" s="17"/>
      <c r="O40" s="1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6"/>
      <c r="M41" s="16"/>
      <c r="N41" s="15"/>
      <c r="O41" s="15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6"/>
      <c r="M42" s="16"/>
      <c r="N42" s="17"/>
      <c r="O42" s="17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6"/>
      <c r="M43" s="16"/>
      <c r="N43" s="15"/>
      <c r="O43" s="15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6"/>
      <c r="M44" s="16"/>
      <c r="N44" s="17"/>
      <c r="O44" s="17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6"/>
      <c r="M45" s="16"/>
      <c r="N45" s="15"/>
      <c r="O45" s="15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6"/>
      <c r="M46" s="16"/>
      <c r="N46" s="17"/>
      <c r="O46" s="17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6"/>
      <c r="M47" s="16"/>
      <c r="N47" s="15"/>
      <c r="O47" s="15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6"/>
      <c r="M48" s="16"/>
      <c r="N48" s="17"/>
      <c r="O48" s="17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6"/>
      <c r="M49" s="16"/>
      <c r="N49" s="15"/>
      <c r="O49" s="15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6"/>
      <c r="M50" s="16"/>
      <c r="N50" s="17"/>
      <c r="O50" s="17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6"/>
      <c r="M51" s="16"/>
      <c r="N51" s="15"/>
      <c r="O51" s="15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6"/>
      <c r="M52" s="16"/>
      <c r="N52" s="17"/>
      <c r="O52" s="17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6"/>
      <c r="M53" s="16"/>
      <c r="N53" s="15"/>
      <c r="O53" s="15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6"/>
      <c r="M54" s="16"/>
      <c r="N54" s="17"/>
      <c r="O54" s="17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6"/>
      <c r="M55" s="16"/>
      <c r="N55" s="15"/>
      <c r="O55" s="15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6"/>
      <c r="M56" s="16"/>
      <c r="N56" s="17"/>
      <c r="O56" s="17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6"/>
      <c r="M57" s="16"/>
      <c r="N57" s="15"/>
      <c r="O57" s="15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6"/>
      <c r="M58" s="16"/>
      <c r="N58" s="17"/>
      <c r="O58" s="17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6"/>
      <c r="M59" s="16"/>
      <c r="N59" s="15"/>
      <c r="O59" s="15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6"/>
      <c r="M60" s="16"/>
      <c r="N60" s="17"/>
      <c r="O60" s="17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6"/>
      <c r="M61" s="16"/>
      <c r="N61" s="15"/>
      <c r="O61" s="15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6"/>
      <c r="M62" s="16"/>
      <c r="N62" s="17"/>
      <c r="O62" s="17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6"/>
      <c r="M63" s="16"/>
      <c r="N63" s="15"/>
      <c r="O63" s="15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6"/>
      <c r="M64" s="16"/>
      <c r="N64" s="17"/>
      <c r="O64" s="17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6"/>
      <c r="M65" s="16"/>
      <c r="N65" s="15"/>
      <c r="O65" s="15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6"/>
      <c r="M66" s="16"/>
      <c r="N66" s="17"/>
      <c r="O66" s="17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6"/>
      <c r="M67" s="16"/>
      <c r="N67" s="15"/>
      <c r="O67" s="15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6"/>
      <c r="M68" s="16"/>
      <c r="N68" s="17"/>
      <c r="O68" s="17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6"/>
      <c r="M69" s="16"/>
      <c r="N69" s="15"/>
      <c r="O69" s="15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6"/>
      <c r="M70" s="16"/>
      <c r="N70" s="17"/>
      <c r="O70" s="17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6"/>
      <c r="M71" s="16"/>
      <c r="N71" s="15"/>
      <c r="O71" s="15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6"/>
      <c r="M72" s="16"/>
      <c r="N72" s="17"/>
      <c r="O72" s="17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6"/>
      <c r="M73" s="16"/>
      <c r="N73" s="15"/>
      <c r="O73" s="15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6"/>
      <c r="M74" s="16"/>
      <c r="N74" s="17"/>
      <c r="O74" s="17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6"/>
      <c r="M75" s="16"/>
      <c r="N75" s="15"/>
      <c r="O75" s="15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6"/>
      <c r="M76" s="16"/>
      <c r="N76" s="17"/>
      <c r="O76" s="17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6"/>
      <c r="M77" s="16"/>
      <c r="N77" s="15"/>
      <c r="O77" s="15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6"/>
      <c r="M78" s="16"/>
      <c r="N78" s="17"/>
      <c r="O78" s="17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6"/>
      <c r="M79" s="16"/>
      <c r="N79" s="15"/>
      <c r="O79" s="15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6"/>
      <c r="M80" s="16"/>
      <c r="N80" s="17"/>
      <c r="O80" s="17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6"/>
      <c r="M81" s="16"/>
      <c r="N81" s="15"/>
      <c r="O81" s="15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6"/>
      <c r="M82" s="16"/>
      <c r="N82" s="17"/>
      <c r="O82" s="17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6"/>
      <c r="M83" s="16"/>
      <c r="N83" s="15"/>
      <c r="O83" s="15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6"/>
      <c r="M84" s="16"/>
      <c r="N84" s="17"/>
      <c r="O84" s="17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6"/>
      <c r="M85" s="16"/>
      <c r="N85" s="15"/>
      <c r="O85" s="15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6"/>
      <c r="M86" s="16"/>
      <c r="N86" s="17"/>
      <c r="O86" s="17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3">
    <mergeCell ref="D2:E2"/>
    <mergeCell ref="D3:E3"/>
    <mergeCell ref="D4:E4"/>
  </mergeCells>
  <dataValidations>
    <dataValidation type="list" allowBlank="1" sqref="A1">
      <formula1>"เลือกภาษา,EN,TH"</formula1>
    </dataValidation>
    <dataValidation type="list" allowBlank="1" showErrorMessage="1" sqref="M7:M86">
      <formula1>"NONE,PASSED,UNABLE,FAILED"</formula1>
    </dataValidation>
    <dataValidation type="list" allowBlank="1" showErrorMessage="1" sqref="L8">
      <formula1>"NONE,PASSED,EDITTING,UNABLE"</formula1>
    </dataValidation>
    <dataValidation type="list" allowBlank="1" showErrorMessage="1" sqref="L7 L9:L86">
      <formula1>"NONE,PASSED,EDITING,UNABLE"</formula1>
    </dataValidation>
  </dataValidations>
  <hyperlinks>
    <hyperlink r:id="rId1" ref="D2"/>
  </hyperlinks>
  <drawing r:id="rId2"/>
  <tableParts count="1">
    <tablePart r:id="rId4"/>
  </tableParts>
</worksheet>
</file>